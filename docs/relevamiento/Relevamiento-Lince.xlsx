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Negocio" sheetId="2" state="visible" r:id="rId2"/>
    <sheet name="Operación y ventas" sheetId="3" state="visible" r:id="rId3"/>
    <sheet name="Productos y precios" sheetId="4" state="visible" r:id="rId4"/>
    <sheet name="Stock y proveedores" sheetId="5" state="visible" r:id="rId5"/>
    <sheet name="Clientes" sheetId="6" state="visible" r:id="rId6"/>
    <sheet name="Finanzas y rentabilidad" sheetId="7" state="visible" r:id="rId7"/>
    <sheet name="Diagnóstico" sheetId="8" state="visible" r:id="rId8"/>
    <sheet name="Métricas de éxit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1B2B23"/>
      <sz val="15"/>
    </font>
    <font>
      <b val="1"/>
      <color rgb="001B2B23"/>
    </font>
    <font>
      <b val="1"/>
      <color rgb="00FFFFFF"/>
    </font>
    <font>
      <i val="1"/>
      <color rgb="006E8579"/>
      <sz val="10"/>
    </font>
  </fonts>
  <fills count="6">
    <fill>
      <patternFill/>
    </fill>
    <fill>
      <patternFill patternType="gray125"/>
    </fill>
    <fill>
      <patternFill patternType="solid">
        <fgColor rgb="006E8579"/>
      </patternFill>
    </fill>
    <fill>
      <patternFill patternType="solid">
        <fgColor rgb="003D5A45"/>
      </patternFill>
    </fill>
    <fill>
      <patternFill patternType="solid">
        <fgColor rgb="00FFF7E6"/>
      </patternFill>
    </fill>
    <fill>
      <patternFill patternType="solid">
        <fgColor rgb="00EFEAE0"/>
      </patternFill>
    </fill>
  </fills>
  <borders count="2">
    <border>
      <left/>
      <right/>
      <top/>
      <bottom/>
      <diagonal/>
    </border>
    <border>
      <left style="thin">
        <color rgb="00C9C4B8"/>
      </left>
      <right style="thin">
        <color rgb="00C9C4B8"/>
      </right>
      <top style="thin">
        <color rgb="00C9C4B8"/>
      </top>
      <bottom style="thin">
        <color rgb="00C9C4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3" fontId="0" fillId="4" borderId="1" pivotButton="0" quotePrefix="0" xfId="0"/>
    <xf numFmtId="164" fontId="0" fillId="4" borderId="1" pivotButton="0" quotePrefix="0" xfId="0"/>
    <xf numFmtId="3" fontId="2" fillId="5" borderId="1" pivotButton="0" quotePrefix="0" xfId="0"/>
    <xf numFmtId="164" fontId="2" fillId="5" borderId="1" pivotButton="0" quotePrefix="0" xfId="0"/>
    <xf numFmtId="0" fontId="0" fillId="4" borderId="1" pivotButton="0" quotePrefix="0" xfId="0"/>
    <xf numFmtId="164" fontId="0" fillId="5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5" fontId="0" fillId="4" borderId="1" pivotButton="0" quotePrefix="0" xfId="0"/>
    <xf numFmtId="165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Relevamiento + Rentabilidad — Lince</t>
        </is>
      </c>
    </row>
    <row r="3">
      <c r="A3" s="2" t="inlineStr"/>
    </row>
    <row r="4">
      <c r="A4" s="3" t="inlineStr">
        <is>
          <t>Cómo usar esta planilla:</t>
        </is>
      </c>
    </row>
    <row r="5">
      <c r="A5" s="2" t="inlineStr">
        <is>
          <t>•  Completá SOLO las celdas amarillas (datos del relevamiento).</t>
        </is>
      </c>
    </row>
    <row r="6">
      <c r="A6" s="2" t="inlineStr">
        <is>
          <t>•  Las celdas grises se calculan solas (fórmulas) — no las toques.</t>
        </is>
      </c>
    </row>
    <row r="7">
      <c r="A7" s="2" t="inlineStr">
        <is>
          <t>•  Una pestaña por tema. Empezá por 'Negocio' y seguí el orden.</t>
        </is>
      </c>
    </row>
    <row r="8">
      <c r="A8" s="2" t="inlineStr">
        <is>
          <t>•  Si la subís a Google Sheets, las fórmulas se mantienen.</t>
        </is>
      </c>
    </row>
    <row r="9">
      <c r="A9" s="2" t="inlineStr"/>
    </row>
    <row r="10">
      <c r="A10" s="3" t="inlineStr">
        <is>
          <t>Pestañas:</t>
        </is>
      </c>
    </row>
    <row r="11">
      <c r="A11" s="2" t="inlineStr">
        <is>
          <t xml:space="preserve">   1. Negocio                — datos generales</t>
        </is>
      </c>
    </row>
    <row r="12">
      <c r="A12" s="2" t="inlineStr">
        <is>
          <t xml:space="preserve">   2. Operación y ventas     — canales, caja, delivery, WhatsApp</t>
        </is>
      </c>
    </row>
    <row r="13">
      <c r="A13" s="2" t="inlineStr">
        <is>
          <t xml:space="preserve">   3. Productos y precios     — SKUs, listas de proveedores, actualización de precios</t>
        </is>
      </c>
    </row>
    <row r="14">
      <c r="A14" s="2" t="inlineStr">
        <is>
          <t xml:space="preserve">   4. Stock y proveedores</t>
        </is>
      </c>
    </row>
    <row r="15">
      <c r="A15" s="2" t="inlineStr">
        <is>
          <t xml:space="preserve">   5. Clientes               — tráfico, ticket, fiado, recurrencia</t>
        </is>
      </c>
    </row>
    <row r="16">
      <c r="A16" s="2" t="inlineStr">
        <is>
          <t xml:space="preserve">   6. Finanzas y rentabilidad — ventas, margen, gastos, ganancia (con fórmulas)</t>
        </is>
      </c>
    </row>
    <row r="17">
      <c r="A17" s="2" t="inlineStr">
        <is>
          <t xml:space="preserve">   7. Diagnóstico             — dolores detectados y servicio propuesto</t>
        </is>
      </c>
    </row>
    <row r="18">
      <c r="A18" s="2" t="inlineStr">
        <is>
          <t xml:space="preserve">   8. Métricas de éxito       — KPIs antes/objetivo/actual + ROI del proyecto</t>
        </is>
      </c>
    </row>
    <row r="19">
      <c r="A19" s="2" t="inlineStr"/>
    </row>
    <row r="20">
      <c r="A20" s="2" t="inlineStr">
        <is>
          <t>Objetivo: entender el negocio, estimar su rentabilidad y elegir UN caso piloto</t>
        </is>
      </c>
    </row>
    <row r="21">
      <c r="A21" s="2" t="inlineStr">
        <is>
          <t>de alto impacto para el primer cliente (gratis), con métricas para medir el éxito.</t>
        </is>
      </c>
    </row>
    <row r="23">
      <c r="A23" s="4" t="inlineStr">
        <is>
          <t>Fecha del relevamiento</t>
        </is>
      </c>
    </row>
    <row r="24">
      <c r="A24" s="4" t="inlineStr">
        <is>
          <t>Relevado por</t>
        </is>
      </c>
    </row>
    <row r="25">
      <c r="A25" s="4" t="inlineStr">
        <is>
          <t>Negocio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52" customWidth="1" min="3" max="3"/>
  </cols>
  <sheetData>
    <row r="1" ht="24" customHeight="1">
      <c r="A1" s="1" t="inlineStr">
        <is>
          <t>Negocio</t>
        </is>
      </c>
    </row>
    <row r="2">
      <c r="A2" s="5" t="inlineStr">
        <is>
          <t>Campo</t>
        </is>
      </c>
      <c r="B2" s="5" t="inlineStr">
        <is>
          <t>Respuesta</t>
        </is>
      </c>
      <c r="C2" s="5" t="inlineStr">
        <is>
          <t>Notas / aclaraciones</t>
        </is>
      </c>
    </row>
    <row r="3">
      <c r="A3" s="6" t="inlineStr">
        <is>
          <t>Datos generales</t>
        </is>
      </c>
    </row>
    <row r="4" ht="20" customHeight="1">
      <c r="A4" s="7" t="inlineStr">
        <is>
          <t>Nombre del negocio</t>
        </is>
      </c>
      <c r="B4" s="8" t="n"/>
      <c r="C4" s="9" t="inlineStr"/>
    </row>
    <row r="5" ht="20" customHeight="1">
      <c r="A5" s="7" t="inlineStr">
        <is>
          <t>Rubro</t>
        </is>
      </c>
      <c r="B5" s="8" t="n"/>
      <c r="C5" s="9" t="inlineStr">
        <is>
          <t>Bazar / Supermercado / Ambos</t>
        </is>
      </c>
    </row>
    <row r="6" ht="20" customHeight="1">
      <c r="A6" s="7" t="inlineStr">
        <is>
          <t>¿Una sucursal o varias? ¿cuántas?</t>
        </is>
      </c>
      <c r="B6" s="8" t="n"/>
      <c r="C6" s="9" t="inlineStr"/>
    </row>
    <row r="7" ht="20" customHeight="1">
      <c r="A7" s="7" t="inlineStr">
        <is>
          <t>Dirección(es)</t>
        </is>
      </c>
      <c r="B7" s="8" t="n"/>
      <c r="C7" s="9" t="inlineStr"/>
    </row>
    <row r="8" ht="20" customHeight="1">
      <c r="A8" s="7" t="inlineStr">
        <is>
          <t>Dueño / contacto</t>
        </is>
      </c>
      <c r="B8" s="8" t="n"/>
      <c r="C8" s="9" t="inlineStr">
        <is>
          <t>Nombre, teléfono</t>
        </is>
      </c>
    </row>
    <row r="9" ht="20" customHeight="1">
      <c r="A9" s="7" t="inlineStr">
        <is>
          <t>Antigüedad del negocio</t>
        </is>
      </c>
      <c r="B9" s="8" t="n"/>
      <c r="C9" s="9" t="inlineStr">
        <is>
          <t>Años</t>
        </is>
      </c>
    </row>
    <row r="10" ht="20" customHeight="1">
      <c r="A10" s="7" t="inlineStr">
        <is>
          <t>Superficie aprox (m²)</t>
        </is>
      </c>
      <c r="B10" s="8" t="n"/>
      <c r="C10" s="9" t="inlineStr"/>
    </row>
    <row r="11" ht="20" customHeight="1">
      <c r="A11" s="7" t="inlineStr">
        <is>
          <t>Cantidad de empleados</t>
        </is>
      </c>
      <c r="B11" s="8" t="n"/>
      <c r="C11" s="9" t="inlineStr"/>
    </row>
    <row r="12" ht="20" customHeight="1">
      <c r="A12" s="7" t="inlineStr">
        <is>
          <t>Horario de atención</t>
        </is>
      </c>
      <c r="B12" s="8" t="n"/>
      <c r="C12" s="9" t="inlineStr"/>
    </row>
    <row r="13" ht="20" customHeight="1">
      <c r="A13" s="7" t="inlineStr">
        <is>
          <t>Estacionalidad / picos</t>
        </is>
      </c>
      <c r="B13" s="8" t="n"/>
      <c r="C13" s="9" t="inlineStr">
        <is>
          <t>Ej: fiestas, inicio de clases, fines de semana</t>
        </is>
      </c>
    </row>
    <row r="14" ht="20" customHeight="1">
      <c r="A14" s="7" t="inlineStr">
        <is>
          <t>Nivel de digitalización</t>
        </is>
      </c>
      <c r="B14" s="8" t="n"/>
      <c r="C14" s="9" t="inlineStr">
        <is>
          <t>Nada / planilla / software de gestión</t>
        </is>
      </c>
    </row>
    <row r="15">
      <c r="A15" s="6" t="inlineStr">
        <is>
          <t>Objetivo del dueño</t>
        </is>
      </c>
    </row>
    <row r="16" ht="20" customHeight="1">
      <c r="A16" s="7" t="inlineStr">
        <is>
          <t>Objetivo principal</t>
        </is>
      </c>
      <c r="B16" s="8" t="n"/>
      <c r="C16" s="9" t="inlineStr">
        <is>
          <t>Vender más / ahorrar tiempo / ordenar precios / reducir quiebres</t>
        </is>
      </c>
    </row>
    <row r="17" ht="20" customHeight="1">
      <c r="A17" s="7" t="inlineStr">
        <is>
          <t>¿Qué tarea odia o repite más?</t>
        </is>
      </c>
      <c r="B17" s="8" t="n"/>
      <c r="C17" s="9" t="inlineStr">
        <is>
          <t>LA pregunta de oro</t>
        </is>
      </c>
    </row>
    <row r="18" ht="20" customHeight="1">
      <c r="A18" s="7" t="inlineStr">
        <is>
          <t>Expectativa con la automatización</t>
        </is>
      </c>
      <c r="B18" s="8" t="n"/>
      <c r="C18" s="9" t="inlineStr"/>
    </row>
  </sheetData>
  <mergeCells count="3">
    <mergeCell ref="A1:C1"/>
    <mergeCell ref="A3:C3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52" customWidth="1" min="3" max="3"/>
  </cols>
  <sheetData>
    <row r="1" ht="24" customHeight="1">
      <c r="A1" s="1" t="inlineStr">
        <is>
          <t>Operación y ventas</t>
        </is>
      </c>
    </row>
    <row r="2">
      <c r="A2" s="5" t="inlineStr">
        <is>
          <t>Campo</t>
        </is>
      </c>
      <c r="B2" s="5" t="inlineStr">
        <is>
          <t>Respuesta</t>
        </is>
      </c>
      <c r="C2" s="5" t="inlineStr">
        <is>
          <t>Notas / aclaraciones</t>
        </is>
      </c>
    </row>
    <row r="3">
      <c r="A3" s="6" t="inlineStr">
        <is>
          <t>Cómo vende</t>
        </is>
      </c>
    </row>
    <row r="4" ht="20" customHeight="1">
      <c r="A4" s="7" t="inlineStr">
        <is>
          <t>Modalidad</t>
        </is>
      </c>
      <c r="B4" s="8" t="n"/>
      <c r="C4" s="9" t="inlineStr">
        <is>
          <t>Mostrador / autoservicio / ambos</t>
        </is>
      </c>
    </row>
    <row r="5" ht="20" customHeight="1">
      <c r="A5" s="7" t="inlineStr">
        <is>
          <t>¿Hace delivery?</t>
        </is>
      </c>
      <c r="B5" s="8" t="n"/>
      <c r="C5" s="9" t="inlineStr">
        <is>
          <t>Sí/No — zona de cobertura</t>
        </is>
      </c>
    </row>
    <row r="6" ht="20" customHeight="1">
      <c r="A6" s="7" t="inlineStr">
        <is>
          <t>¿Cómo toma los pedidos hoy?</t>
        </is>
      </c>
      <c r="B6" s="8" t="n"/>
      <c r="C6" s="9" t="inlineStr">
        <is>
          <t>Teléfono / WhatsApp / presencial</t>
        </is>
      </c>
    </row>
    <row r="7" ht="20" customHeight="1">
      <c r="A7" s="7" t="inlineStr">
        <is>
          <t>Tiempo diario tomando/coordinando pedidos</t>
        </is>
      </c>
      <c r="B7" s="8" t="n"/>
      <c r="C7" s="9" t="inlineStr">
        <is>
          <t>Horas aprox</t>
        </is>
      </c>
    </row>
    <row r="8" ht="20" customHeight="1">
      <c r="A8" s="7" t="inlineStr">
        <is>
          <t>¿Tiene catálogo o tienda online?</t>
        </is>
      </c>
      <c r="B8" s="8" t="n"/>
      <c r="C8" s="9" t="inlineStr">
        <is>
          <t>Sí/No — cuál</t>
        </is>
      </c>
    </row>
    <row r="9">
      <c r="A9" s="6" t="inlineStr">
        <is>
          <t>Caja y pagos</t>
        </is>
      </c>
    </row>
    <row r="10" ht="20" customHeight="1">
      <c r="A10" s="7" t="inlineStr">
        <is>
          <t>Sistema de caja / POS</t>
        </is>
      </c>
      <c r="B10" s="8" t="n"/>
      <c r="C10" s="9" t="inlineStr">
        <is>
          <t>¿Cuál? (software, balanza, planilla, nada)</t>
        </is>
      </c>
    </row>
    <row r="11" ht="20" customHeight="1">
      <c r="A11" s="7" t="inlineStr">
        <is>
          <t>¿El POS exporta datos?</t>
        </is>
      </c>
      <c r="B11" s="8" t="n"/>
      <c r="C11" s="9" t="inlineStr">
        <is>
          <t>Sí/No — formato (Excel/CSV)</t>
        </is>
      </c>
    </row>
    <row r="12" ht="20" customHeight="1">
      <c r="A12" s="7" t="inlineStr">
        <is>
          <t>Medios de pago aceptados</t>
        </is>
      </c>
      <c r="B12" s="8" t="n"/>
      <c r="C12" s="9" t="inlineStr">
        <is>
          <t>Efectivo, débito, crédito, MercadoPago, transferencia, QR</t>
        </is>
      </c>
    </row>
    <row r="13">
      <c r="A13" s="6" t="inlineStr">
        <is>
          <t>Canales digitales</t>
        </is>
      </c>
    </row>
    <row r="14" ht="20" customHeight="1">
      <c r="A14" s="7" t="inlineStr">
        <is>
          <t>¿Usa WhatsApp para vender?</t>
        </is>
      </c>
      <c r="B14" s="8" t="n"/>
      <c r="C14" s="9" t="inlineStr">
        <is>
          <t>Sí/No — ¿WhatsApp Business?</t>
        </is>
      </c>
    </row>
    <row r="15" ht="20" customHeight="1">
      <c r="A15" s="7" t="inlineStr">
        <is>
          <t>Mensajes de clientes por día (aprox)</t>
        </is>
      </c>
      <c r="B15" s="8" t="n"/>
      <c r="C15" s="9" t="inlineStr"/>
    </row>
    <row r="16" ht="20" customHeight="1">
      <c r="A16" s="7" t="inlineStr">
        <is>
          <t>¿Tiene catálogo de WhatsApp cargado?</t>
        </is>
      </c>
      <c r="B16" s="8" t="n"/>
      <c r="C16" s="9" t="inlineStr">
        <is>
          <t>Sí/No</t>
        </is>
      </c>
    </row>
    <row r="17" ht="20" customHeight="1">
      <c r="A17" s="7" t="inlineStr">
        <is>
          <t>Tiempo diario respondiendo consultas repetidas</t>
        </is>
      </c>
      <c r="B17" s="8" t="n"/>
      <c r="C17" s="9" t="inlineStr">
        <is>
          <t>Horas aprox</t>
        </is>
      </c>
    </row>
    <row r="18" ht="20" customHeight="1">
      <c r="A18" s="7" t="inlineStr">
        <is>
          <t>Redes (Instagram/Facebook)</t>
        </is>
      </c>
      <c r="B18" s="8" t="n"/>
      <c r="C18" s="9" t="inlineStr">
        <is>
          <t>¿Activas? ¿quién las maneja?</t>
        </is>
      </c>
    </row>
    <row r="19" ht="20" customHeight="1">
      <c r="A19" s="7" t="inlineStr">
        <is>
          <t>Ficha de Google Business</t>
        </is>
      </c>
      <c r="B19" s="8" t="n"/>
      <c r="C19" s="9" t="inlineStr">
        <is>
          <t>Sí/No — ¿actualizada?</t>
        </is>
      </c>
    </row>
  </sheetData>
  <mergeCells count="4">
    <mergeCell ref="A1:C1"/>
    <mergeCell ref="A9:C9"/>
    <mergeCell ref="A13:C13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52" customWidth="1" min="3" max="3"/>
  </cols>
  <sheetData>
    <row r="1" ht="24" customHeight="1">
      <c r="A1" s="1" t="inlineStr">
        <is>
          <t>Productos y precios</t>
        </is>
      </c>
    </row>
    <row r="2">
      <c r="A2" s="5" t="inlineStr">
        <is>
          <t>Campo</t>
        </is>
      </c>
      <c r="B2" s="5" t="inlineStr">
        <is>
          <t>Respuesta</t>
        </is>
      </c>
      <c r="C2" s="5" t="inlineStr">
        <is>
          <t>Notas / aclaraciones</t>
        </is>
      </c>
    </row>
    <row r="3">
      <c r="A3" s="6" t="inlineStr">
        <is>
          <t>Catálogo</t>
        </is>
      </c>
    </row>
    <row r="4" ht="20" customHeight="1">
      <c r="A4" s="7" t="inlineStr">
        <is>
          <t>Cantidad aproximada de SKUs</t>
        </is>
      </c>
      <c r="B4" s="8" t="n"/>
      <c r="C4" s="9" t="inlineStr">
        <is>
          <t>Productos distintos</t>
        </is>
      </c>
    </row>
    <row r="5" ht="20" customHeight="1">
      <c r="A5" s="7" t="inlineStr">
        <is>
          <t>Categorías principales</t>
        </is>
      </c>
      <c r="B5" s="8" t="n"/>
      <c r="C5" s="9" t="inlineStr"/>
    </row>
    <row r="6" ht="20" customHeight="1">
      <c r="A6" s="7" t="inlineStr">
        <is>
          <t>¿Tiene lista de precios maestra digital?</t>
        </is>
      </c>
      <c r="B6" s="8" t="n"/>
      <c r="C6" s="9" t="inlineStr">
        <is>
          <t>Sí/No — dónde (Excel, sistema)</t>
        </is>
      </c>
    </row>
    <row r="7">
      <c r="A7" s="6" t="inlineStr">
        <is>
          <t>Precios e inflación</t>
        </is>
      </c>
    </row>
    <row r="8" ht="20" customHeight="1">
      <c r="A8" s="7" t="inlineStr">
        <is>
          <t>¿Cómo llegan las listas de proveedores?</t>
        </is>
      </c>
      <c r="B8" s="8" t="n"/>
      <c r="C8" s="9" t="inlineStr">
        <is>
          <t>PDF / Excel / foto / papel / web</t>
        </is>
      </c>
    </row>
    <row r="9" ht="20" customHeight="1">
      <c r="A9" s="7" t="inlineStr">
        <is>
          <t>Frecuencia de cambios de precio</t>
        </is>
      </c>
      <c r="B9" s="8" t="n"/>
      <c r="C9" s="9" t="inlineStr">
        <is>
          <t>Diaria / semanal / quincenal / mensual</t>
        </is>
      </c>
    </row>
    <row r="10" ht="20" customHeight="1">
      <c r="A10" s="7" t="inlineStr">
        <is>
          <t>¿Cómo actualiza precios hoy?</t>
        </is>
      </c>
      <c r="B10" s="8" t="n"/>
      <c r="C10" s="9" t="inlineStr">
        <is>
          <t>A mano / con sistema</t>
        </is>
      </c>
    </row>
    <row r="11" ht="20" customHeight="1">
      <c r="A11" s="7" t="inlineStr">
        <is>
          <t>Tiempo por actualizar cada lista</t>
        </is>
      </c>
      <c r="B11" s="8" t="n"/>
      <c r="C11" s="9" t="inlineStr">
        <is>
          <t>Horas aprox</t>
        </is>
      </c>
    </row>
    <row r="12" ht="20" customHeight="1">
      <c r="A12" s="7" t="inlineStr">
        <is>
          <t>Regla de margen (markup)</t>
        </is>
      </c>
      <c r="B12" s="8" t="n"/>
      <c r="C12" s="9" t="inlineStr">
        <is>
          <t>¿% uniforme o por categoría?</t>
        </is>
      </c>
    </row>
    <row r="13" ht="20" customHeight="1">
      <c r="A13" s="7" t="inlineStr">
        <is>
          <t>Errores de precio detectados</t>
        </is>
      </c>
      <c r="B13" s="8" t="n"/>
      <c r="C13" s="9" t="inlineStr">
        <is>
          <t>Frecuencia / impacto</t>
        </is>
      </c>
    </row>
    <row r="14">
      <c r="A14" s="6" t="inlineStr">
        <is>
          <t>Cartelería</t>
        </is>
      </c>
    </row>
    <row r="15" ht="20" customHeight="1">
      <c r="A15" s="7" t="inlineStr">
        <is>
          <t>¿Usa etiquetas / carteles de góndola?</t>
        </is>
      </c>
      <c r="B15" s="8" t="n"/>
      <c r="C15" s="9" t="inlineStr">
        <is>
          <t>Sí/No</t>
        </is>
      </c>
    </row>
    <row r="16" ht="20" customHeight="1">
      <c r="A16" s="7" t="inlineStr">
        <is>
          <t>¿Cómo los hace hoy?</t>
        </is>
      </c>
      <c r="B16" s="8" t="n"/>
      <c r="C16" s="9" t="inlineStr">
        <is>
          <t>A mano / Word / sistema</t>
        </is>
      </c>
    </row>
    <row r="17" ht="20" customHeight="1">
      <c r="A17" s="7" t="inlineStr">
        <is>
          <t>Frecuencia de reimpresión de carteles</t>
        </is>
      </c>
      <c r="B17" s="8" t="n"/>
      <c r="C17" s="9" t="inlineStr"/>
    </row>
  </sheetData>
  <mergeCells count="4">
    <mergeCell ref="A1:C1"/>
    <mergeCell ref="A7:C7"/>
    <mergeCell ref="A14:C14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52" customWidth="1" min="3" max="3"/>
  </cols>
  <sheetData>
    <row r="1" ht="24" customHeight="1">
      <c r="A1" s="1" t="inlineStr">
        <is>
          <t>Stock y proveedores</t>
        </is>
      </c>
    </row>
    <row r="2">
      <c r="A2" s="5" t="inlineStr">
        <is>
          <t>Campo</t>
        </is>
      </c>
      <c r="B2" s="5" t="inlineStr">
        <is>
          <t>Respuesta</t>
        </is>
      </c>
      <c r="C2" s="5" t="inlineStr">
        <is>
          <t>Notas / aclaraciones</t>
        </is>
      </c>
    </row>
    <row r="3">
      <c r="A3" s="6" t="inlineStr">
        <is>
          <t>Stock</t>
        </is>
      </c>
    </row>
    <row r="4" ht="20" customHeight="1">
      <c r="A4" s="7" t="inlineStr">
        <is>
          <t>¿Controla stock?</t>
        </is>
      </c>
      <c r="B4" s="8" t="n"/>
      <c r="C4" s="9" t="inlineStr">
        <is>
          <t>No / a ojo / planilla / sistema</t>
        </is>
      </c>
    </row>
    <row r="5" ht="20" customHeight="1">
      <c r="A5" s="7" t="inlineStr">
        <is>
          <t>¿Sufre quiebres (faltantes)?</t>
        </is>
      </c>
      <c r="B5" s="8" t="n"/>
      <c r="C5" s="9" t="inlineStr">
        <is>
          <t>Frecuencia</t>
        </is>
      </c>
    </row>
    <row r="6" ht="20" customHeight="1">
      <c r="A6" s="7" t="inlineStr">
        <is>
          <t>¿Sobrestock / capital inmovilizado?</t>
        </is>
      </c>
      <c r="B6" s="8" t="n"/>
      <c r="C6" s="9" t="inlineStr"/>
    </row>
    <row r="7" ht="20" customHeight="1">
      <c r="A7" s="7" t="inlineStr">
        <is>
          <t>Perecederos (super): ¿problema de vencimientos?</t>
        </is>
      </c>
      <c r="B7" s="8" t="n"/>
      <c r="C7" s="9" t="inlineStr">
        <is>
          <t>Sí/No</t>
        </is>
      </c>
    </row>
    <row r="8" ht="20" customHeight="1">
      <c r="A8" s="7" t="inlineStr">
        <is>
          <t>Desperdicio por vencimientos (aprox $/mes)</t>
        </is>
      </c>
      <c r="B8" s="8" t="n"/>
      <c r="C8" s="9" t="inlineStr"/>
    </row>
    <row r="9">
      <c r="A9" s="6" t="inlineStr">
        <is>
          <t>Proveedores</t>
        </is>
      </c>
    </row>
    <row r="10" ht="20" customHeight="1">
      <c r="A10" s="7" t="inlineStr">
        <is>
          <t>Cantidad de proveedores principales</t>
        </is>
      </c>
      <c r="B10" s="8" t="n"/>
      <c r="C10" s="9" t="inlineStr"/>
    </row>
    <row r="11" ht="20" customHeight="1">
      <c r="A11" s="7" t="inlineStr">
        <is>
          <t>Proveedores top</t>
        </is>
      </c>
      <c r="B11" s="8" t="n"/>
      <c r="C11" s="9" t="inlineStr">
        <is>
          <t>Lista</t>
        </is>
      </c>
    </row>
    <row r="12" ht="20" customHeight="1">
      <c r="A12" s="7" t="inlineStr">
        <is>
          <t>Condiciones de pago a proveedores</t>
        </is>
      </c>
      <c r="B12" s="8" t="n"/>
      <c r="C12" s="9" t="inlineStr">
        <is>
          <t>Contado / cuenta corriente / plazos</t>
        </is>
      </c>
    </row>
    <row r="13" ht="20" customHeight="1">
      <c r="A13" s="7" t="inlineStr">
        <is>
          <t>¿Compara precios entre proveedores?</t>
        </is>
      </c>
      <c r="B13" s="8" t="n"/>
      <c r="C13" s="9" t="inlineStr">
        <is>
          <t>Sí/No — cómo</t>
        </is>
      </c>
    </row>
  </sheetData>
  <mergeCells count="3">
    <mergeCell ref="A1:C1"/>
    <mergeCell ref="A9:C9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52" customWidth="1" min="3" max="3"/>
  </cols>
  <sheetData>
    <row r="1" ht="24" customHeight="1">
      <c r="A1" s="1" t="inlineStr">
        <is>
          <t>Clientes</t>
        </is>
      </c>
    </row>
    <row r="2">
      <c r="A2" s="5" t="inlineStr">
        <is>
          <t>Campo</t>
        </is>
      </c>
      <c r="B2" s="5" t="inlineStr">
        <is>
          <t>Respuesta</t>
        </is>
      </c>
      <c r="C2" s="5" t="inlineStr">
        <is>
          <t>Notas / aclaraciones</t>
        </is>
      </c>
    </row>
    <row r="3">
      <c r="A3" s="6" t="inlineStr">
        <is>
          <t>Tráfico y consumo</t>
        </is>
      </c>
    </row>
    <row r="4" ht="20" customHeight="1">
      <c r="A4" s="7" t="inlineStr">
        <is>
          <t>Clientes por día (aprox)</t>
        </is>
      </c>
      <c r="B4" s="8" t="n"/>
      <c r="C4" s="9" t="inlineStr"/>
    </row>
    <row r="5" ht="20" customHeight="1">
      <c r="A5" s="7" t="inlineStr">
        <is>
          <t>Ticket promedio ($)</t>
        </is>
      </c>
      <c r="B5" s="8" t="n"/>
      <c r="C5" s="9" t="inlineStr"/>
    </row>
    <row r="6" ht="20" customHeight="1">
      <c r="A6" s="7" t="inlineStr">
        <is>
          <t>% de clientes recurrentes (aprox)</t>
        </is>
      </c>
      <c r="B6" s="8" t="n"/>
      <c r="C6" s="9" t="inlineStr"/>
    </row>
    <row r="7">
      <c r="A7" s="6" t="inlineStr">
        <is>
          <t>Fiado / cuenta corriente</t>
        </is>
      </c>
    </row>
    <row r="8" ht="20" customHeight="1">
      <c r="A8" s="7" t="inlineStr">
        <is>
          <t>¿Da fiado / cuenta corriente?</t>
        </is>
      </c>
      <c r="B8" s="8" t="n"/>
      <c r="C8" s="9" t="inlineStr">
        <is>
          <t>Sí/No</t>
        </is>
      </c>
    </row>
    <row r="9" ht="20" customHeight="1">
      <c r="A9" s="7" t="inlineStr">
        <is>
          <t>¿Cómo registra el fiado?</t>
        </is>
      </c>
      <c r="B9" s="8" t="n"/>
      <c r="C9" s="9" t="inlineStr">
        <is>
          <t>Cuaderno / planilla / app</t>
        </is>
      </c>
    </row>
    <row r="10" ht="20" customHeight="1">
      <c r="A10" s="7" t="inlineStr">
        <is>
          <t>Monto promedio de cuenta corriente</t>
        </is>
      </c>
      <c r="B10" s="8" t="n"/>
      <c r="C10" s="9" t="inlineStr"/>
    </row>
    <row r="11" ht="20" customHeight="1">
      <c r="A11" s="7" t="inlineStr">
        <is>
          <t>Morosidad / demora de cobro</t>
        </is>
      </c>
      <c r="B11" s="8" t="n"/>
      <c r="C11" s="9" t="inlineStr"/>
    </row>
    <row r="12">
      <c r="A12" s="6" t="inlineStr">
        <is>
          <t>Base de clientes y fidelización</t>
        </is>
      </c>
    </row>
    <row r="13" ht="20" customHeight="1">
      <c r="A13" s="7" t="inlineStr">
        <is>
          <t>¿Tiene base de clientes (teléfonos)?</t>
        </is>
      </c>
      <c r="B13" s="8" t="n"/>
      <c r="C13" s="9" t="inlineStr">
        <is>
          <t>Sí/No — cantidad</t>
        </is>
      </c>
    </row>
    <row r="14" ht="20" customHeight="1">
      <c r="A14" s="7" t="inlineStr">
        <is>
          <t>¿Hace promociones / fidelización?</t>
        </is>
      </c>
      <c r="B14" s="8" t="n"/>
      <c r="C14" s="9" t="inlineStr">
        <is>
          <t>Sí/No — cómo</t>
        </is>
      </c>
    </row>
  </sheetData>
  <mergeCells count="4">
    <mergeCell ref="A1:C1"/>
    <mergeCell ref="A7:C7"/>
    <mergeCell ref="A3:C3"/>
    <mergeCell ref="A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50" customWidth="1" min="3" max="3"/>
  </cols>
  <sheetData>
    <row r="1" ht="24" customHeight="1">
      <c r="A1" s="1" t="inlineStr">
        <is>
          <t>Finanzas y rentabilidad (mensual)</t>
        </is>
      </c>
    </row>
    <row r="2">
      <c r="A2" s="5" t="inlineStr">
        <is>
          <t>Concepto</t>
        </is>
      </c>
      <c r="B2" s="5" t="inlineStr">
        <is>
          <t>Valor</t>
        </is>
      </c>
      <c r="C2" s="5" t="inlineStr">
        <is>
          <t>Notas</t>
        </is>
      </c>
    </row>
    <row r="3">
      <c r="A3" s="6" t="inlineStr">
        <is>
          <t>Ingresos y costo de mercadería</t>
        </is>
      </c>
    </row>
    <row r="4">
      <c r="A4" s="7" t="inlineStr">
        <is>
          <t>Ventas mensuales ($)</t>
        </is>
      </c>
      <c r="B4" s="10" t="n"/>
      <c r="C4" s="9" t="inlineStr">
        <is>
          <t>Facturación total del mes</t>
        </is>
      </c>
    </row>
    <row r="5">
      <c r="A5" s="7" t="inlineStr">
        <is>
          <t>Costo de mercadería (% de ventas)</t>
        </is>
      </c>
      <c r="B5" s="11" t="n"/>
      <c r="C5" s="9" t="inlineStr">
        <is>
          <t>Ej: 70% (lo que cuesta lo que vendés)</t>
        </is>
      </c>
    </row>
    <row r="6">
      <c r="A6" s="7" t="inlineStr">
        <is>
          <t>Costo de mercadería ($)</t>
        </is>
      </c>
      <c r="B6" s="12">
        <f>B4*B5</f>
        <v/>
      </c>
      <c r="C6" s="9">
        <f> Ventas × CMV%</f>
        <v/>
      </c>
    </row>
    <row r="7">
      <c r="A7" s="7" t="inlineStr">
        <is>
          <t>Margen bruto ($)</t>
        </is>
      </c>
      <c r="B7" s="12">
        <f>B4-B6</f>
        <v/>
      </c>
      <c r="C7" s="9">
        <f> Ventas − CMV</f>
        <v/>
      </c>
    </row>
    <row r="8">
      <c r="A8" s="7" t="inlineStr">
        <is>
          <t>Margen bruto (%)</t>
        </is>
      </c>
      <c r="B8" s="13">
        <f>IFERROR(B7/B4,0)</f>
        <v/>
      </c>
      <c r="C8" s="9">
        <f> Margen bruto / Ventas</f>
        <v/>
      </c>
    </row>
    <row r="9">
      <c r="A9" s="6" t="inlineStr">
        <is>
          <t>Gastos fijos mensuales</t>
        </is>
      </c>
    </row>
    <row r="10">
      <c r="A10" s="7" t="inlineStr">
        <is>
          <t>Alquiler ($)</t>
        </is>
      </c>
      <c r="B10" s="10" t="n"/>
      <c r="C10" s="9" t="inlineStr"/>
    </row>
    <row r="11">
      <c r="A11" s="7" t="inlineStr">
        <is>
          <t>Sueldos ($)</t>
        </is>
      </c>
      <c r="B11" s="10" t="n"/>
      <c r="C11" s="9" t="inlineStr"/>
    </row>
    <row r="12">
      <c r="A12" s="7" t="inlineStr">
        <is>
          <t>Servicios (luz/agua/gas/internet) ($)</t>
        </is>
      </c>
      <c r="B12" s="10" t="n"/>
      <c r="C12" s="9" t="inlineStr"/>
    </row>
    <row r="13">
      <c r="A13" s="7" t="inlineStr">
        <is>
          <t>Impuestos y tasas ($)</t>
        </is>
      </c>
      <c r="B13" s="10" t="n"/>
      <c r="C13" s="9" t="inlineStr"/>
    </row>
    <row r="14">
      <c r="A14" s="7" t="inlineStr">
        <is>
          <t>Otros gastos fijos ($)</t>
        </is>
      </c>
      <c r="B14" s="10" t="n"/>
      <c r="C14" s="9" t="inlineStr"/>
    </row>
    <row r="15">
      <c r="A15" s="7" t="inlineStr">
        <is>
          <t>Total gastos fijos ($)</t>
        </is>
      </c>
      <c r="B15" s="12">
        <f>SUM(B10:B14)</f>
        <v/>
      </c>
      <c r="C15" s="9">
        <f> suma de arriba</f>
        <v/>
      </c>
    </row>
    <row r="16">
      <c r="A16" s="6" t="inlineStr">
        <is>
          <t>Resultado</t>
        </is>
      </c>
    </row>
    <row r="17">
      <c r="A17" s="7" t="inlineStr">
        <is>
          <t>Ganancia operativa ($)</t>
        </is>
      </c>
      <c r="B17" s="12">
        <f>B7-B15</f>
        <v/>
      </c>
      <c r="C17" s="9">
        <f> Margen bruto − Gastos fijos</f>
        <v/>
      </c>
    </row>
    <row r="18">
      <c r="A18" s="7" t="inlineStr">
        <is>
          <t>Margen neto (%)</t>
        </is>
      </c>
      <c r="B18" s="13">
        <f>IFERROR(B17/B4,0)</f>
        <v/>
      </c>
      <c r="C18" s="9">
        <f> Ganancia / Ventas</f>
        <v/>
      </c>
    </row>
    <row r="19">
      <c r="A19" s="6" t="inlineStr">
        <is>
          <t>Control cruzado (opcional)</t>
        </is>
      </c>
    </row>
    <row r="20">
      <c r="A20" s="7" t="inlineStr">
        <is>
          <t>Ticket promedio ($)</t>
        </is>
      </c>
      <c r="B20" s="10" t="n"/>
      <c r="C20" s="9" t="inlineStr"/>
    </row>
    <row r="21">
      <c r="A21" s="7" t="inlineStr">
        <is>
          <t>Clientes por día</t>
        </is>
      </c>
      <c r="B21" s="14" t="n"/>
      <c r="C21" s="9" t="inlineStr"/>
    </row>
    <row r="22">
      <c r="A22" s="7" t="inlineStr">
        <is>
          <t>Ventas estimadas/mes (control)</t>
        </is>
      </c>
      <c r="B22" s="12">
        <f>B20*B21*30</f>
        <v/>
      </c>
      <c r="C22" s="9">
        <f> ticket × clientes × 30</f>
        <v/>
      </c>
    </row>
  </sheetData>
  <mergeCells count="5">
    <mergeCell ref="A19:C19"/>
    <mergeCell ref="A1:C1"/>
    <mergeCell ref="A9:C9"/>
    <mergeCell ref="A3:C3"/>
    <mergeCell ref="A16:C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4" customWidth="1" min="3" max="3"/>
    <col width="14" customWidth="1" min="4" max="4"/>
    <col width="12" customWidth="1" min="5" max="5"/>
    <col width="34" customWidth="1" min="6" max="6"/>
  </cols>
  <sheetData>
    <row r="1" ht="24" customHeight="1">
      <c r="A1" s="1" t="inlineStr">
        <is>
          <t>Diagnóstico y oportunidades</t>
        </is>
      </c>
    </row>
    <row r="2">
      <c r="A2" s="5" t="inlineStr">
        <is>
          <t>Dolor / problema detectado</t>
        </is>
      </c>
      <c r="B2" s="5" t="inlineStr">
        <is>
          <t>Impacto (Alto/Medio/Bajo)</t>
        </is>
      </c>
      <c r="C2" s="5" t="inlineStr">
        <is>
          <t>Servicio Lince propuesto</t>
        </is>
      </c>
      <c r="D2" s="5" t="inlineStr">
        <is>
          <t>Esfuerzo (A/M/B)</t>
        </is>
      </c>
      <c r="E2" s="5" t="inlineStr">
        <is>
          <t>Prioridad (1-5)</t>
        </is>
      </c>
      <c r="F2" s="5" t="inlineStr">
        <is>
          <t>Métrica que mejoraría</t>
        </is>
      </c>
    </row>
    <row r="3" ht="30" customHeight="1">
      <c r="A3" s="7" t="inlineStr">
        <is>
          <t>Actualizar precios desde listas de proveedores lleva mucho tiempo</t>
        </is>
      </c>
      <c r="B3" s="8" t="inlineStr"/>
      <c r="C3" s="7" t="inlineStr">
        <is>
          <t>Automatización de precios + carteles (IA)</t>
        </is>
      </c>
      <c r="D3" s="8" t="inlineStr"/>
      <c r="E3" s="8" t="inlineStr"/>
      <c r="F3" s="7" t="inlineStr">
        <is>
          <t>Horas/lista; errores de precio</t>
        </is>
      </c>
    </row>
    <row r="4" ht="30" customHeight="1">
      <c r="A4" s="7" t="inlineStr">
        <is>
          <t>Se pierden pedidos/consultas por WhatsApp</t>
        </is>
      </c>
      <c r="B4" s="8" t="inlineStr"/>
      <c r="C4" s="7" t="inlineStr">
        <is>
          <t>Catálogo + pedidos por WhatsApp</t>
        </is>
      </c>
      <c r="D4" s="8" t="inlineStr"/>
      <c r="E4" s="8" t="inlineStr"/>
      <c r="F4" s="7" t="inlineStr">
        <is>
          <t>Pedidos/mes; tiempo de atención</t>
        </is>
      </c>
    </row>
    <row r="5" ht="30" customHeight="1">
      <c r="A5" s="7" t="inlineStr">
        <is>
          <t>Faltantes / quiebres de stock</t>
        </is>
      </c>
      <c r="B5" s="8" t="inlineStr"/>
      <c r="C5" s="7" t="inlineStr">
        <is>
          <t>Alertas de reposición</t>
        </is>
      </c>
      <c r="D5" s="8" t="inlineStr"/>
      <c r="E5" s="8" t="inlineStr"/>
      <c r="F5" s="7" t="inlineStr">
        <is>
          <t>Quiebres/mes</t>
        </is>
      </c>
    </row>
    <row r="6" ht="30" customHeight="1">
      <c r="A6" s="7" t="inlineStr">
        <is>
          <t>Fiado desordenado / cobro lento</t>
        </is>
      </c>
      <c r="B6" s="8" t="inlineStr"/>
      <c r="C6" s="7" t="inlineStr">
        <is>
          <t>Recordatorios de cuenta corriente</t>
        </is>
      </c>
      <c r="D6" s="8" t="inlineStr"/>
      <c r="E6" s="8" t="inlineStr"/>
      <c r="F6" s="7" t="inlineStr">
        <is>
          <t>% al día; días de cobro</t>
        </is>
      </c>
    </row>
    <row r="7" ht="30" customHeight="1">
      <c r="A7" s="7" t="inlineStr">
        <is>
          <t>Clientes no recompran</t>
        </is>
      </c>
      <c r="B7" s="8" t="inlineStr"/>
      <c r="C7" s="7" t="inlineStr">
        <is>
          <t>Pedido habitual / fidelización</t>
        </is>
      </c>
      <c r="D7" s="8" t="inlineStr"/>
      <c r="E7" s="8" t="inlineStr"/>
      <c r="F7" s="7" t="inlineStr">
        <is>
          <t>Tasa de recompra</t>
        </is>
      </c>
    </row>
    <row r="8" ht="30" customHeight="1">
      <c r="A8" s="7" t="inlineStr">
        <is>
          <t>Desperdicio por vencimientos (super)</t>
        </is>
      </c>
      <c r="B8" s="8" t="inlineStr"/>
      <c r="C8" s="7" t="inlineStr">
        <is>
          <t>Alertas de vencimiento + promo</t>
        </is>
      </c>
      <c r="D8" s="8" t="inlineStr"/>
      <c r="E8" s="8" t="inlineStr"/>
      <c r="F8" s="7" t="inlineStr">
        <is>
          <t>Desperdicio $/mes</t>
        </is>
      </c>
    </row>
    <row r="9" ht="30" customHeight="1">
      <c r="A9" s="7" t="inlineStr">
        <is>
          <t>Poca visibilidad en Google</t>
        </is>
      </c>
      <c r="B9" s="8" t="inlineStr"/>
      <c r="C9" s="7" t="inlineStr">
        <is>
          <t>Ficha de Google (baja prioridad)</t>
        </is>
      </c>
      <c r="D9" s="8" t="inlineStr"/>
      <c r="E9" s="8" t="inlineStr"/>
      <c r="F9" s="7" t="inlineStr">
        <is>
          <t>Llamados/visitas</t>
        </is>
      </c>
    </row>
    <row r="10">
      <c r="A10" s="14" t="n"/>
      <c r="B10" s="14" t="n"/>
      <c r="C10" s="14" t="n"/>
      <c r="D10" s="14" t="n"/>
      <c r="E10" s="14" t="n"/>
      <c r="F10" s="14" t="n"/>
    </row>
    <row r="11">
      <c r="A11" s="14" t="n"/>
      <c r="B11" s="14" t="n"/>
      <c r="C11" s="14" t="n"/>
      <c r="D11" s="14" t="n"/>
      <c r="E11" s="14" t="n"/>
      <c r="F11" s="14" t="n"/>
    </row>
    <row r="12">
      <c r="A12" s="14" t="n"/>
      <c r="B12" s="14" t="n"/>
      <c r="C12" s="14" t="n"/>
      <c r="D12" s="14" t="n"/>
      <c r="E12" s="14" t="n"/>
      <c r="F12" s="14" t="n"/>
    </row>
    <row r="13">
      <c r="A13" s="14" t="n"/>
      <c r="B13" s="14" t="n"/>
      <c r="C13" s="14" t="n"/>
      <c r="D13" s="14" t="n"/>
      <c r="E13" s="14" t="n"/>
      <c r="F13" s="14" t="n"/>
    </row>
    <row r="14">
      <c r="A14" s="14" t="n"/>
      <c r="B14" s="14" t="n"/>
      <c r="C14" s="14" t="n"/>
      <c r="D14" s="14" t="n"/>
      <c r="E14" s="14" t="n"/>
      <c r="F14" s="14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16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 ht="24" customHeight="1">
      <c r="A1" s="1" t="inlineStr">
        <is>
          <t>Métricas de éxito de la implementación</t>
        </is>
      </c>
    </row>
    <row r="2">
      <c r="A2" s="5" t="inlineStr">
        <is>
          <t>Métrica (KPI)</t>
        </is>
      </c>
      <c r="B2" s="5" t="inlineStr">
        <is>
          <t>Cómo se mide / fuente</t>
        </is>
      </c>
      <c r="C2" s="5" t="inlineStr">
        <is>
          <t>Sentido</t>
        </is>
      </c>
      <c r="D2" s="5" t="inlineStr">
        <is>
          <t>Línea base (antes)</t>
        </is>
      </c>
      <c r="E2" s="5" t="inlineStr">
        <is>
          <t>Objetivo</t>
        </is>
      </c>
      <c r="F2" s="5" t="inlineStr">
        <is>
          <t>Actual</t>
        </is>
      </c>
      <c r="G2" s="5" t="inlineStr">
        <is>
          <t>Variación %</t>
        </is>
      </c>
      <c r="H2" s="5" t="inlineStr">
        <is>
          <t>Frecuencia</t>
        </is>
      </c>
    </row>
    <row r="3">
      <c r="A3" s="6" t="inlineStr">
        <is>
          <t>Eficiencia operativa</t>
        </is>
      </c>
    </row>
    <row r="4" ht="28" customHeight="1">
      <c r="A4" s="7" t="inlineStr">
        <is>
          <t>Horas/semana en tareas repetitivas</t>
        </is>
      </c>
      <c r="B4" s="7" t="inlineStr">
        <is>
          <t>Atención + precios + pedidos</t>
        </is>
      </c>
      <c r="C4" s="7" t="inlineStr">
        <is>
          <t>↓ mejor</t>
        </is>
      </c>
      <c r="D4" s="8" t="n"/>
      <c r="E4" s="8" t="n"/>
      <c r="F4" s="8" t="n"/>
      <c r="G4" s="15">
        <f>IFERROR((F4-D4)/D4,"")</f>
        <v/>
      </c>
      <c r="H4" s="7" t="inlineStr">
        <is>
          <t>Semanal</t>
        </is>
      </c>
    </row>
    <row r="5" ht="28" customHeight="1">
      <c r="A5" s="7" t="inlineStr">
        <is>
          <t>Tiempo de actualizar precios por lista (min)</t>
        </is>
      </c>
      <c r="B5" s="7" t="inlineStr">
        <is>
          <t>Cronómetro</t>
        </is>
      </c>
      <c r="C5" s="7" t="inlineStr">
        <is>
          <t>↓ mejor</t>
        </is>
      </c>
      <c r="D5" s="8" t="n"/>
      <c r="E5" s="8" t="n"/>
      <c r="F5" s="8" t="n"/>
      <c r="G5" s="15">
        <f>IFERROR((F5-D5)/D5,"")</f>
        <v/>
      </c>
      <c r="H5" s="7" t="inlineStr">
        <is>
          <t>Por lista</t>
        </is>
      </c>
    </row>
    <row r="6" ht="28" customHeight="1">
      <c r="A6" s="7" t="inlineStr">
        <is>
          <t>Errores de precio por mes</t>
        </is>
      </c>
      <c r="B6" s="7" t="inlineStr">
        <is>
          <t>Conteo</t>
        </is>
      </c>
      <c r="C6" s="7" t="inlineStr">
        <is>
          <t>↓ mejor</t>
        </is>
      </c>
      <c r="D6" s="8" t="n"/>
      <c r="E6" s="8" t="n"/>
      <c r="F6" s="8" t="n"/>
      <c r="G6" s="15">
        <f>IFERROR((F6-D6)/D6,"")</f>
        <v/>
      </c>
      <c r="H6" s="7" t="inlineStr">
        <is>
          <t>Mensual</t>
        </is>
      </c>
    </row>
    <row r="7">
      <c r="A7" s="6" t="inlineStr">
        <is>
          <t>Comercial / ventas</t>
        </is>
      </c>
    </row>
    <row r="8" ht="28" customHeight="1">
      <c r="A8" s="7" t="inlineStr">
        <is>
          <t>Pedidos por WhatsApp / mes</t>
        </is>
      </c>
      <c r="B8" s="7" t="inlineStr">
        <is>
          <t>Bot / registro</t>
        </is>
      </c>
      <c r="C8" s="7" t="inlineStr">
        <is>
          <t>↑ mejor</t>
        </is>
      </c>
      <c r="D8" s="8" t="n"/>
      <c r="E8" s="8" t="n"/>
      <c r="F8" s="8" t="n"/>
      <c r="G8" s="15">
        <f>IFERROR((F8-D8)/D8,"")</f>
        <v/>
      </c>
      <c r="H8" s="7" t="inlineStr">
        <is>
          <t>Mensual</t>
        </is>
      </c>
    </row>
    <row r="9" ht="28" customHeight="1">
      <c r="A9" s="7" t="inlineStr">
        <is>
          <t>Ventas mensuales ($)</t>
        </is>
      </c>
      <c r="B9" s="7" t="inlineStr">
        <is>
          <t>Caja / POS</t>
        </is>
      </c>
      <c r="C9" s="7" t="inlineStr">
        <is>
          <t>↑ mejor</t>
        </is>
      </c>
      <c r="D9" s="8" t="n"/>
      <c r="E9" s="8" t="n"/>
      <c r="F9" s="8" t="n"/>
      <c r="G9" s="15">
        <f>IFERROR((F9-D9)/D9,"")</f>
        <v/>
      </c>
      <c r="H9" s="7" t="inlineStr">
        <is>
          <t>Mensual</t>
        </is>
      </c>
    </row>
    <row r="10" ht="28" customHeight="1">
      <c r="A10" s="7" t="inlineStr">
        <is>
          <t>Ticket promedio ($)</t>
        </is>
      </c>
      <c r="B10" s="7" t="inlineStr">
        <is>
          <t>Caja / POS</t>
        </is>
      </c>
      <c r="C10" s="7" t="inlineStr">
        <is>
          <t>↑ mejor</t>
        </is>
      </c>
      <c r="D10" s="8" t="n"/>
      <c r="E10" s="8" t="n"/>
      <c r="F10" s="8" t="n"/>
      <c r="G10" s="15">
        <f>IFERROR((F10-D10)/D10,"")</f>
        <v/>
      </c>
      <c r="H10" s="7" t="inlineStr">
        <is>
          <t>Mensual</t>
        </is>
      </c>
    </row>
    <row r="11" ht="28" customHeight="1">
      <c r="A11" s="7" t="inlineStr">
        <is>
          <t>Clientes nuevos / mes</t>
        </is>
      </c>
      <c r="B11" s="7" t="inlineStr">
        <is>
          <t>Registro</t>
        </is>
      </c>
      <c r="C11" s="7" t="inlineStr">
        <is>
          <t>↑ mejor</t>
        </is>
      </c>
      <c r="D11" s="8" t="n"/>
      <c r="E11" s="8" t="n"/>
      <c r="F11" s="8" t="n"/>
      <c r="G11" s="15">
        <f>IFERROR((F11-D11)/D11,"")</f>
        <v/>
      </c>
      <c r="H11" s="7" t="inlineStr">
        <is>
          <t>Mensual</t>
        </is>
      </c>
    </row>
    <row r="12" ht="28" customHeight="1">
      <c r="A12" s="7" t="inlineStr">
        <is>
          <t>Tasa de recompra (%)</t>
        </is>
      </c>
      <c r="B12" s="7" t="inlineStr">
        <is>
          <t>Registro de clientes</t>
        </is>
      </c>
      <c r="C12" s="7" t="inlineStr">
        <is>
          <t>↑ mejor</t>
        </is>
      </c>
      <c r="D12" s="8" t="n"/>
      <c r="E12" s="8" t="n"/>
      <c r="F12" s="8" t="n"/>
      <c r="G12" s="15">
        <f>IFERROR((F12-D12)/D12,"")</f>
        <v/>
      </c>
      <c r="H12" s="7" t="inlineStr">
        <is>
          <t>Mensual</t>
        </is>
      </c>
    </row>
    <row r="13">
      <c r="A13" s="6" t="inlineStr">
        <is>
          <t>Atención</t>
        </is>
      </c>
    </row>
    <row r="14" ht="28" customHeight="1">
      <c r="A14" s="7" t="inlineStr">
        <is>
          <t>Consultas respondidas &lt; 5 min (%)</t>
        </is>
      </c>
      <c r="B14" s="7" t="inlineStr">
        <is>
          <t>Bot</t>
        </is>
      </c>
      <c r="C14" s="7" t="inlineStr">
        <is>
          <t>↑ mejor</t>
        </is>
      </c>
      <c r="D14" s="8" t="n"/>
      <c r="E14" s="8" t="n"/>
      <c r="F14" s="8" t="n"/>
      <c r="G14" s="15">
        <f>IFERROR((F14-D14)/D14,"")</f>
        <v/>
      </c>
      <c r="H14" s="7" t="inlineStr">
        <is>
          <t>Semanal</t>
        </is>
      </c>
    </row>
    <row r="15" ht="28" customHeight="1">
      <c r="A15" s="7" t="inlineStr">
        <is>
          <t>Consultas fuera de horario capturadas / mes</t>
        </is>
      </c>
      <c r="B15" s="7" t="inlineStr">
        <is>
          <t>Bot</t>
        </is>
      </c>
      <c r="C15" s="7" t="inlineStr">
        <is>
          <t>↑ mejor</t>
        </is>
      </c>
      <c r="D15" s="8" t="n"/>
      <c r="E15" s="8" t="n"/>
      <c r="F15" s="8" t="n"/>
      <c r="G15" s="15">
        <f>IFERROR((F15-D15)/D15,"")</f>
        <v/>
      </c>
      <c r="H15" s="7" t="inlineStr">
        <is>
          <t>Mensual</t>
        </is>
      </c>
    </row>
    <row r="16">
      <c r="A16" s="6" t="inlineStr">
        <is>
          <t>Stock</t>
        </is>
      </c>
    </row>
    <row r="17" ht="28" customHeight="1">
      <c r="A17" s="7" t="inlineStr">
        <is>
          <t>Quiebres (faltantes) / mes</t>
        </is>
      </c>
      <c r="B17" s="7" t="inlineStr">
        <is>
          <t>Conteo</t>
        </is>
      </c>
      <c r="C17" s="7" t="inlineStr">
        <is>
          <t>↓ mejor</t>
        </is>
      </c>
      <c r="D17" s="8" t="n"/>
      <c r="E17" s="8" t="n"/>
      <c r="F17" s="8" t="n"/>
      <c r="G17" s="15">
        <f>IFERROR((F17-D17)/D17,"")</f>
        <v/>
      </c>
      <c r="H17" s="7" t="inlineStr">
        <is>
          <t>Mensual</t>
        </is>
      </c>
    </row>
    <row r="18" ht="28" customHeight="1">
      <c r="A18" s="7" t="inlineStr">
        <is>
          <t>Desperdicio por vencimientos ($/mes)</t>
        </is>
      </c>
      <c r="B18" s="7" t="inlineStr">
        <is>
          <t>Estimación</t>
        </is>
      </c>
      <c r="C18" s="7" t="inlineStr">
        <is>
          <t>↓ mejor</t>
        </is>
      </c>
      <c r="D18" s="8" t="n"/>
      <c r="E18" s="8" t="n"/>
      <c r="F18" s="8" t="n"/>
      <c r="G18" s="15">
        <f>IFERROR((F18-D18)/D18,"")</f>
        <v/>
      </c>
      <c r="H18" s="7" t="inlineStr">
        <is>
          <t>Mensual</t>
        </is>
      </c>
    </row>
    <row r="19">
      <c r="A19" s="6" t="inlineStr">
        <is>
          <t>Cobranzas (fiado)</t>
        </is>
      </c>
    </row>
    <row r="20" ht="28" customHeight="1">
      <c r="A20" s="7" t="inlineStr">
        <is>
          <t>Cuenta corriente al día (%)</t>
        </is>
      </c>
      <c r="B20" s="7" t="inlineStr">
        <is>
          <t>Planilla de fiado</t>
        </is>
      </c>
      <c r="C20" s="7" t="inlineStr">
        <is>
          <t>↑ mejor</t>
        </is>
      </c>
      <c r="D20" s="8" t="n"/>
      <c r="E20" s="8" t="n"/>
      <c r="F20" s="8" t="n"/>
      <c r="G20" s="15">
        <f>IFERROR((F20-D20)/D20,"")</f>
        <v/>
      </c>
      <c r="H20" s="7" t="inlineStr">
        <is>
          <t>Mensual</t>
        </is>
      </c>
    </row>
    <row r="21" ht="28" customHeight="1">
      <c r="A21" s="7" t="inlineStr">
        <is>
          <t>Días promedio de cobro</t>
        </is>
      </c>
      <c r="B21" s="7" t="inlineStr">
        <is>
          <t>Planilla de fiado</t>
        </is>
      </c>
      <c r="C21" s="7" t="inlineStr">
        <is>
          <t>↓ mejor</t>
        </is>
      </c>
      <c r="D21" s="8" t="n"/>
      <c r="E21" s="8" t="n"/>
      <c r="F21" s="8" t="n"/>
      <c r="G21" s="15">
        <f>IFERROR((F21-D21)/D21,"")</f>
        <v/>
      </c>
      <c r="H21" s="7" t="inlineStr">
        <is>
          <t>Mensual</t>
        </is>
      </c>
    </row>
    <row r="22">
      <c r="A22" s="6" t="inlineStr">
        <is>
          <t>Adopción / satisfacción</t>
        </is>
      </c>
    </row>
    <row r="23" ht="28" customHeight="1">
      <c r="A23" s="7" t="inlineStr">
        <is>
          <t>% de pedidos por el canal nuevo</t>
        </is>
      </c>
      <c r="B23" s="7" t="inlineStr">
        <is>
          <t>Bot / caja</t>
        </is>
      </c>
      <c r="C23" s="7" t="inlineStr">
        <is>
          <t>↑ mejor</t>
        </is>
      </c>
      <c r="D23" s="8" t="n"/>
      <c r="E23" s="8" t="n"/>
      <c r="F23" s="8" t="n"/>
      <c r="G23" s="15">
        <f>IFERROR((F23-D23)/D23,"")</f>
        <v/>
      </c>
      <c r="H23" s="7" t="inlineStr">
        <is>
          <t>Mensual</t>
        </is>
      </c>
    </row>
    <row r="24" ht="28" customHeight="1">
      <c r="A24" s="7" t="inlineStr">
        <is>
          <t>Satisfacción del dueño (1-10)</t>
        </is>
      </c>
      <c r="B24" s="7" t="inlineStr">
        <is>
          <t>Encuesta</t>
        </is>
      </c>
      <c r="C24" s="7" t="inlineStr">
        <is>
          <t>↑ mejor</t>
        </is>
      </c>
      <c r="D24" s="8" t="n"/>
      <c r="E24" s="8" t="n"/>
      <c r="F24" s="8" t="n"/>
      <c r="G24" s="15">
        <f>IFERROR((F24-D24)/D24,"")</f>
        <v/>
      </c>
      <c r="H24" s="7" t="inlineStr">
        <is>
          <t>Mensual</t>
        </is>
      </c>
    </row>
    <row r="26">
      <c r="A26" s="6" t="inlineStr">
        <is>
          <t>ROI del proyecto (impacto económico)</t>
        </is>
      </c>
    </row>
    <row r="27">
      <c r="A27" s="7" t="inlineStr">
        <is>
          <t>Horas/semana ahorradas</t>
        </is>
      </c>
      <c r="B27" s="16" t="inlineStr">
        <is>
          <t>Tiempo que libera la automatización</t>
        </is>
      </c>
      <c r="D27" s="10" t="n"/>
    </row>
    <row r="28">
      <c r="A28" s="7" t="inlineStr">
        <is>
          <t>Valor de la hora ($)</t>
        </is>
      </c>
      <c r="B28" s="16" t="inlineStr">
        <is>
          <t>Costo de esa hora para el negocio</t>
        </is>
      </c>
      <c r="D28" s="10" t="n"/>
    </row>
    <row r="29">
      <c r="A29" s="7" t="inlineStr">
        <is>
          <t>Ahorro mensual ($)</t>
        </is>
      </c>
      <c r="B29" s="16">
        <f> horas × valor × 4,33</f>
        <v/>
      </c>
      <c r="D29" s="12">
        <f>D27*D28*4.33</f>
        <v/>
      </c>
    </row>
    <row r="30">
      <c r="A30" s="7" t="inlineStr">
        <is>
          <t>Pedidos incrementales / mes</t>
        </is>
      </c>
      <c r="B30" s="16" t="inlineStr">
        <is>
          <t>Pedidos nuevos que captás</t>
        </is>
      </c>
      <c r="D30" s="17" t="n"/>
    </row>
    <row r="31">
      <c r="A31" s="7" t="inlineStr">
        <is>
          <t>Ticket promedio ($)</t>
        </is>
      </c>
      <c r="B31" s="16" t="inlineStr"/>
      <c r="D31" s="10" t="n"/>
    </row>
    <row r="32">
      <c r="A32" s="7" t="inlineStr">
        <is>
          <t>Ventas incrementales ($)</t>
        </is>
      </c>
      <c r="B32" s="16">
        <f> pedidos × ticket</f>
        <v/>
      </c>
      <c r="D32" s="12">
        <f>D30*D31</f>
        <v/>
      </c>
    </row>
    <row r="33">
      <c r="A33" s="7" t="inlineStr">
        <is>
          <t>Margen bruto (%)</t>
        </is>
      </c>
      <c r="B33" s="16" t="inlineStr">
        <is>
          <t>Traer de la pestaña Finanzas</t>
        </is>
      </c>
      <c r="D33" s="11" t="n"/>
    </row>
    <row r="34">
      <c r="A34" s="7" t="inlineStr">
        <is>
          <t>Ganancia incremental ($)</t>
        </is>
      </c>
      <c r="B34" s="16">
        <f> ventas incr. × margen</f>
        <v/>
      </c>
      <c r="D34" s="12">
        <f>D32*D33</f>
        <v/>
      </c>
    </row>
    <row r="35">
      <c r="A35" s="7" t="inlineStr">
        <is>
          <t>Otros ahorros ($/mes)</t>
        </is>
      </c>
      <c r="B35" s="16" t="inlineStr">
        <is>
          <t>Menos quiebres / desperdicio</t>
        </is>
      </c>
      <c r="D35" s="10" t="n"/>
    </row>
    <row r="36">
      <c r="A36" s="7" t="inlineStr">
        <is>
          <t>Costo del servicio Lince ($/mes)</t>
        </is>
      </c>
      <c r="B36" s="16" t="inlineStr">
        <is>
          <t>Tu abono mensual</t>
        </is>
      </c>
      <c r="D36" s="10" t="n"/>
    </row>
    <row r="37">
      <c r="A37" s="7" t="inlineStr">
        <is>
          <t>Beneficio neto mensual ($)</t>
        </is>
      </c>
      <c r="B37" s="16">
        <f> ahorro + ganancia + otros − costo</f>
        <v/>
      </c>
      <c r="D37" s="12">
        <f>D29+D34+D35-D36</f>
        <v/>
      </c>
    </row>
    <row r="38">
      <c r="A38" s="7" t="inlineStr">
        <is>
          <t>ROI mensual (%)</t>
        </is>
      </c>
      <c r="B38" s="16">
        <f> beneficio / costo</f>
        <v/>
      </c>
      <c r="D38" s="13">
        <f>IFERROR(D37/D36,0)</f>
        <v/>
      </c>
    </row>
    <row r="39">
      <c r="A39" s="7" t="inlineStr">
        <is>
          <t>Inversión inicial / setup ($)</t>
        </is>
      </c>
      <c r="B39" s="16" t="inlineStr">
        <is>
          <t>Cobro único de armado</t>
        </is>
      </c>
      <c r="D39" s="10" t="n"/>
    </row>
    <row r="40">
      <c r="A40" s="7" t="inlineStr">
        <is>
          <t>Repago (meses)</t>
        </is>
      </c>
      <c r="B40" s="16">
        <f> setup / beneficio neto</f>
        <v/>
      </c>
      <c r="D40" s="18">
        <f>IFERROR(D39/D37,0)</f>
        <v/>
      </c>
    </row>
  </sheetData>
  <mergeCells count="22">
    <mergeCell ref="D27:F27"/>
    <mergeCell ref="D32:F32"/>
    <mergeCell ref="A1:H1"/>
    <mergeCell ref="D28:F28"/>
    <mergeCell ref="A7:H7"/>
    <mergeCell ref="D37:F37"/>
    <mergeCell ref="A16:H16"/>
    <mergeCell ref="D30:F30"/>
    <mergeCell ref="D39:F39"/>
    <mergeCell ref="D33:F33"/>
    <mergeCell ref="D38:F38"/>
    <mergeCell ref="A3:H3"/>
    <mergeCell ref="A26:H26"/>
    <mergeCell ref="D29:F29"/>
    <mergeCell ref="D35:F35"/>
    <mergeCell ref="D34:F34"/>
    <mergeCell ref="A22:H22"/>
    <mergeCell ref="D31:F31"/>
    <mergeCell ref="D40:F40"/>
    <mergeCell ref="D36:F36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2026-06-18T17:16:27Z</dcterms:created>
  <dcterms:modified xsi:type="dcterms:W3CDTF">2026-06-18T17:16:27Z</dcterms:modified>
</cp:coreProperties>
</file>